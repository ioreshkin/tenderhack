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bi\Desktop\excel\example\"/>
    </mc:Choice>
  </mc:AlternateContent>
  <xr:revisionPtr revIDLastSave="0" documentId="8_{0EAC230E-A9D1-404E-BFA0-081C05A29BDC}" xr6:coauthVersionLast="47" xr6:coauthVersionMax="47" xr10:uidLastSave="{00000000-0000-0000-0000-000000000000}"/>
  <bookViews>
    <workbookView xWindow="-108" yWindow="-108" windowWidth="23256" windowHeight="12456"/>
  </bookViews>
  <sheets>
    <sheet name="Расчет цены (2)" sheetId="4" r:id="rId1"/>
    <sheet name="Лист1" sheetId="3" r:id="rId2"/>
  </sheets>
  <definedNames>
    <definedName name="_xlnm.Print_Area" localSheetId="0">'Расчет цены (2)'!$A$1:$Q$28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4" l="1"/>
  <c r="Q15" i="4"/>
  <c r="Q16" i="4"/>
  <c r="N8" i="4"/>
  <c r="Q8" i="4" s="1"/>
  <c r="N15" i="4"/>
  <c r="N16" i="4"/>
  <c r="K13" i="4"/>
  <c r="O13" i="4" s="1"/>
  <c r="L13" i="4"/>
  <c r="M13" i="4" s="1"/>
  <c r="K14" i="4"/>
  <c r="O14" i="4"/>
  <c r="P14" i="4" s="1"/>
  <c r="K15" i="4"/>
  <c r="O15" i="4"/>
  <c r="P15" i="4"/>
  <c r="K16" i="4"/>
  <c r="O16" i="4"/>
  <c r="P16" i="4"/>
  <c r="K17" i="4"/>
  <c r="O17" i="4" s="1"/>
  <c r="L17" i="4"/>
  <c r="M17" i="4" s="1"/>
  <c r="K6" i="4"/>
  <c r="O6" i="4" s="1"/>
  <c r="L6" i="4"/>
  <c r="M6" i="4" s="1"/>
  <c r="K7" i="4"/>
  <c r="O7" i="4" s="1"/>
  <c r="L7" i="4"/>
  <c r="M7" i="4" s="1"/>
  <c r="K8" i="4"/>
  <c r="L8" i="4"/>
  <c r="M8" i="4" s="1"/>
  <c r="K9" i="4"/>
  <c r="O9" i="4"/>
  <c r="N9" i="4" s="1"/>
  <c r="Q9" i="4" s="1"/>
  <c r="P9" i="4"/>
  <c r="K10" i="4"/>
  <c r="L10" i="4" s="1"/>
  <c r="M10" i="4" s="1"/>
  <c r="O10" i="4"/>
  <c r="N10" i="4" s="1"/>
  <c r="Q10" i="4" s="1"/>
  <c r="P10" i="4"/>
  <c r="K11" i="4"/>
  <c r="L11" i="4" s="1"/>
  <c r="M11" i="4" s="1"/>
  <c r="O11" i="4"/>
  <c r="N11" i="4" s="1"/>
  <c r="Q11" i="4" s="1"/>
  <c r="P11" i="4"/>
  <c r="K12" i="4"/>
  <c r="O12" i="4" s="1"/>
  <c r="L12" i="4"/>
  <c r="M12" i="4" s="1"/>
  <c r="K5" i="4"/>
  <c r="O5" i="4" s="1"/>
  <c r="L16" i="4"/>
  <c r="M16" i="4" s="1"/>
  <c r="L15" i="4"/>
  <c r="M15" i="4" s="1"/>
  <c r="L9" i="4"/>
  <c r="M9" i="4" s="1"/>
  <c r="L14" i="4"/>
  <c r="M14" i="4" s="1"/>
  <c r="O8" i="4"/>
  <c r="P8" i="4"/>
  <c r="N13" i="4" l="1"/>
  <c r="Q13" i="4" s="1"/>
  <c r="P13" i="4"/>
  <c r="P7" i="4"/>
  <c r="N7" i="4"/>
  <c r="Q7" i="4" s="1"/>
  <c r="P5" i="4"/>
  <c r="N5" i="4"/>
  <c r="Q5" i="4" s="1"/>
  <c r="P6" i="4"/>
  <c r="N6" i="4"/>
  <c r="Q6" i="4" s="1"/>
  <c r="N12" i="4"/>
  <c r="Q12" i="4" s="1"/>
  <c r="P12" i="4"/>
  <c r="P17" i="4"/>
  <c r="N17" i="4"/>
  <c r="Q17" i="4" s="1"/>
  <c r="N14" i="4"/>
  <c r="Q14" i="4" s="1"/>
  <c r="L5" i="4"/>
  <c r="M5" i="4" s="1"/>
</calcChain>
</file>

<file path=xl/sharedStrings.xml><?xml version="1.0" encoding="utf-8"?>
<sst xmlns="http://schemas.openxmlformats.org/spreadsheetml/2006/main" count="83" uniqueCount="54">
  <si>
    <t>№</t>
  </si>
  <si>
    <t>Ед. изм</t>
  </si>
  <si>
    <t>Наименование предмета контракта</t>
  </si>
  <si>
    <t>Кол-во</t>
  </si>
  <si>
    <t>Коммерческие предложения (руб./ед.изм.)</t>
  </si>
  <si>
    <t>Существенные условия исполнения контракта</t>
  </si>
  <si>
    <t>Среднее квадратичное отклонение</t>
  </si>
  <si>
    <r>
      <t xml:space="preserve">коэффициент вариации цен V (%)           </t>
    </r>
    <r>
      <rPr>
        <i/>
        <sz val="10"/>
        <color indexed="8"/>
        <rFont val="Times New Roman"/>
        <family val="1"/>
        <charset val="204"/>
      </rPr>
      <t xml:space="preserve">         (не должен превышать 33%)</t>
    </r>
  </si>
  <si>
    <t xml:space="preserve">Средняя арифметическая цена за единицу     &lt;ц&gt; </t>
  </si>
  <si>
    <t>Цена за единицу изм. (руб.)</t>
  </si>
  <si>
    <t>Цена за единицу изм. с округлением (вниз) до сотых долей после запятой (руб.)</t>
  </si>
  <si>
    <t>рублей</t>
  </si>
  <si>
    <t>Н(М)ЦК, ЦКЕП, определяемая методом сопоставимых рыночных цен (анализа рынка)*</t>
  </si>
  <si>
    <t>Рассчет Н(М)ЦК, ЦКЕП произвел:</t>
  </si>
  <si>
    <t>Заказчик:</t>
  </si>
  <si>
    <t>дата</t>
  </si>
  <si>
    <t xml:space="preserve">Однородность совокупности значений выявленных цен, используемых в расчете Н(М)ЦК </t>
  </si>
  <si>
    <t>Н(М)ЦК контракта с учетом округления цены за единицу (руб.)</t>
  </si>
  <si>
    <t xml:space="preserve">* При определении Н(М)ЦК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исполнителем)". Данный Приказ не учитывает, что применение утвержденных формул определения Н(М)ЦК, ЦКЕП, может привести к формированию цены контракта и цены за единицу товара (работы, услуги) с дробными значениями (количество знаков после запятой превышает 2). Большинство бухгалтерских программ, а также программное обеспечение реестра контрактов не позволяет проводить операции с такими значениями. Поэтому в случае необходимости Заказчиком применяется округление  (вниз) таких показателей.
</t>
  </si>
  <si>
    <t xml:space="preserve">Поставщик №4 </t>
  </si>
  <si>
    <t>Поставщик №5 вх.</t>
  </si>
  <si>
    <t>№ п/п</t>
  </si>
  <si>
    <t>код ОКПД</t>
  </si>
  <si>
    <t>Наименование</t>
  </si>
  <si>
    <t>Описание</t>
  </si>
  <si>
    <t>Ед.изм.</t>
  </si>
  <si>
    <t>Цена</t>
  </si>
  <si>
    <t>Сумма</t>
  </si>
  <si>
    <t>Сумма:</t>
  </si>
  <si>
    <t>В соответствии с техническим заданием</t>
  </si>
  <si>
    <t>фио       П.В.Шарыкин</t>
  </si>
  <si>
    <t>фио        Резникова Н.Ю.</t>
  </si>
  <si>
    <r>
      <rPr>
        <b/>
        <sz val="10"/>
        <color indexed="8"/>
        <rFont val="Times New Roman"/>
        <family val="1"/>
        <charset val="204"/>
      </rPr>
      <t>Расчет Н(М)ЦК по формуле</t>
    </r>
    <r>
      <rPr>
        <sz val="10"/>
        <color indexed="8"/>
        <rFont val="Times New Roman"/>
        <family val="1"/>
        <charset val="204"/>
      </rPr>
      <t xml:space="preserve">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</si>
  <si>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>кг</t>
  </si>
  <si>
    <t>Картофель</t>
  </si>
  <si>
    <t>Капуста белокочанная</t>
  </si>
  <si>
    <t>Морковь столовая</t>
  </si>
  <si>
    <t>Свекла столовая</t>
  </si>
  <si>
    <t>Яблоки свежие</t>
  </si>
  <si>
    <t xml:space="preserve">                                                                                                                                 обоснование начальной (максимальной) цены контракта
</t>
  </si>
  <si>
    <t xml:space="preserve">                   Расчет</t>
  </si>
  <si>
    <t xml:space="preserve">Огурцы свежие </t>
  </si>
  <si>
    <t>Лук репчатый свежий</t>
  </si>
  <si>
    <t>Помидоры свежие</t>
  </si>
  <si>
    <t>Поставшик №1 вх.№ 96 от 14.11.2025</t>
  </si>
  <si>
    <t>Поставшик №2 вх.№ 109 от 25.11.2025</t>
  </si>
  <si>
    <t>Поставшик №3 вх.№ 118 от 03.12.2025</t>
  </si>
  <si>
    <t>Груши свежие</t>
  </si>
  <si>
    <t>Апельсины свежие</t>
  </si>
  <si>
    <t>Перец сладкий свежий</t>
  </si>
  <si>
    <t>Редис</t>
  </si>
  <si>
    <t>Грибы шампиньоны</t>
  </si>
  <si>
    <t>14.01.2026 г.</t>
  </si>
  <si>
    <t>1 420 363.70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</si>
</sst>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4" formatCode="0.0000"/>
    <numFmt numFmtId="175" formatCode="0.00000"/>
    <numFmt numFmtId="183" formatCode="#,##0.00\ &quot;₽&quot;"/>
  </numFmts>
  <fonts count="16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9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2" fontId="1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12" fillId="0" borderId="0" xfId="0" applyFont="1"/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applyFont="1"/>
    <xf numFmtId="0" fontId="6" fillId="0" borderId="0" xfId="0" applyFont="1" applyAlignment="1" applyProtection="1">
      <alignment wrapText="1"/>
      <protection locked="0"/>
    </xf>
    <xf numFmtId="174" fontId="6" fillId="0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4" fontId="13" fillId="2" borderId="8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75" fontId="2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 wrapText="1"/>
    </xf>
    <xf numFmtId="174" fontId="1" fillId="3" borderId="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top"/>
    </xf>
    <xf numFmtId="0" fontId="11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5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5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183" fontId="11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top" wrapText="1"/>
    </xf>
    <xf numFmtId="183" fontId="10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wrapText="1"/>
      <protection locked="0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4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2" fontId="1" fillId="0" borderId="2" xfId="0" applyNumberFormat="1" applyFont="1" applyFill="1" applyBorder="1" applyAlignment="1">
      <alignment horizontal="center" vertical="top" wrapText="1"/>
    </xf>
    <xf numFmtId="0" fontId="11" fillId="0" borderId="0" xfId="0" applyFont="1" applyBorder="1" applyAlignment="1">
      <alignment horizontal="right" vertical="center"/>
    </xf>
    <xf numFmtId="0" fontId="9" fillId="0" borderId="0" xfId="0" applyFont="1" applyAlignment="1">
      <alignment horizontal="left" wrapText="1"/>
    </xf>
    <xf numFmtId="0" fontId="13" fillId="2" borderId="8" xfId="0" applyFont="1" applyFill="1" applyBorder="1" applyAlignment="1">
      <alignment vertical="center" wrapText="1"/>
    </xf>
    <xf numFmtId="0" fontId="13" fillId="2" borderId="9" xfId="0" applyFont="1" applyFill="1" applyBorder="1" applyAlignment="1">
      <alignment vertical="center" wrapText="1"/>
    </xf>
    <xf numFmtId="0" fontId="13" fillId="2" borderId="1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3</xdr:row>
      <xdr:rowOff>952500</xdr:rowOff>
    </xdr:from>
    <xdr:to>
      <xdr:col>13</xdr:col>
      <xdr:colOff>0</xdr:colOff>
      <xdr:row>3</xdr:row>
      <xdr:rowOff>1303020</xdr:rowOff>
    </xdr:to>
    <xdr:pic>
      <xdr:nvPicPr>
        <xdr:cNvPr id="4513" name="Picture 1">
          <a:extLst>
            <a:ext uri="{FF2B5EF4-FFF2-40B4-BE49-F238E27FC236}">
              <a16:creationId xmlns:a16="http://schemas.microsoft.com/office/drawing/2014/main" id="{6086496D-A9ED-406E-86DF-D32A5F5E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6820" y="2080260"/>
          <a:ext cx="145542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22860</xdr:colOff>
      <xdr:row>3</xdr:row>
      <xdr:rowOff>922020</xdr:rowOff>
    </xdr:from>
    <xdr:to>
      <xdr:col>11</xdr:col>
      <xdr:colOff>1051560</xdr:colOff>
      <xdr:row>3</xdr:row>
      <xdr:rowOff>1363980</xdr:rowOff>
    </xdr:to>
    <xdr:pic>
      <xdr:nvPicPr>
        <xdr:cNvPr id="4514" name="Picture 2">
          <a:extLst>
            <a:ext uri="{FF2B5EF4-FFF2-40B4-BE49-F238E27FC236}">
              <a16:creationId xmlns:a16="http://schemas.microsoft.com/office/drawing/2014/main" id="{5B9069B4-5145-492C-8B96-C9E29B36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1920" y="2049780"/>
          <a:ext cx="102870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22860</xdr:colOff>
      <xdr:row>3</xdr:row>
      <xdr:rowOff>1600200</xdr:rowOff>
    </xdr:from>
    <xdr:to>
      <xdr:col>13</xdr:col>
      <xdr:colOff>1546860</xdr:colOff>
      <xdr:row>3</xdr:row>
      <xdr:rowOff>1965960</xdr:rowOff>
    </xdr:to>
    <xdr:pic>
      <xdr:nvPicPr>
        <xdr:cNvPr id="4515" name="Picture 5">
          <a:extLst>
            <a:ext uri="{FF2B5EF4-FFF2-40B4-BE49-F238E27FC236}">
              <a16:creationId xmlns:a16="http://schemas.microsoft.com/office/drawing/2014/main" id="{49E4643D-BC9D-4D29-9AB4-60502915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5100" y="2727960"/>
          <a:ext cx="15240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274320</xdr:colOff>
      <xdr:row>3</xdr:row>
      <xdr:rowOff>1402080</xdr:rowOff>
    </xdr:from>
    <xdr:to>
      <xdr:col>13</xdr:col>
      <xdr:colOff>434340</xdr:colOff>
      <xdr:row>3</xdr:row>
      <xdr:rowOff>1630680</xdr:rowOff>
    </xdr:to>
    <xdr:pic>
      <xdr:nvPicPr>
        <xdr:cNvPr id="4516" name="Picture 6">
          <a:extLst>
            <a:ext uri="{FF2B5EF4-FFF2-40B4-BE49-F238E27FC236}">
              <a16:creationId xmlns:a16="http://schemas.microsoft.com/office/drawing/2014/main" id="{3A57CC99-AF09-4573-889F-7CA39E1DB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6560" y="2529840"/>
          <a:ext cx="1600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8"/>
  <sheetViews>
    <sheetView tabSelected="1" topLeftCell="A4" zoomScale="64" zoomScaleNormal="70" zoomScaleSheetLayoutView="100" workbookViewId="0">
      <selection activeCell="D3" sqref="D3:E17"/>
    </sheetView>
  </sheetViews>
  <sheetFormatPr defaultColWidth="9.109375" defaultRowHeight="13.2" x14ac:dyDescent="0.25"/>
  <cols>
    <col min="1" max="1" width="5" style="1" customWidth="1"/>
    <col min="2" max="2" width="27.33203125" style="1" customWidth="1"/>
    <col min="3" max="3" width="29.109375" style="1" customWidth="1"/>
    <col min="4" max="4" width="9.33203125" style="1" customWidth="1"/>
    <col min="5" max="5" width="6.88671875" style="1" customWidth="1"/>
    <col min="6" max="6" width="14" style="1" customWidth="1"/>
    <col min="7" max="7" width="12" style="1" customWidth="1"/>
    <col min="8" max="8" width="13.44140625" style="1" customWidth="1"/>
    <col min="9" max="9" width="10.6640625" style="1" hidden="1" customWidth="1"/>
    <col min="10" max="10" width="11.5546875" style="1" hidden="1" customWidth="1"/>
    <col min="11" max="11" width="16.33203125" style="1" customWidth="1"/>
    <col min="12" max="12" width="16.109375" style="1" customWidth="1"/>
    <col min="13" max="13" width="21.5546875" style="1" customWidth="1"/>
    <col min="14" max="14" width="22.6640625" style="1" customWidth="1"/>
    <col min="15" max="15" width="16.88671875" style="1" customWidth="1"/>
    <col min="16" max="16" width="12.5546875" style="1" customWidth="1"/>
    <col min="17" max="17" width="30" style="1" customWidth="1"/>
    <col min="18" max="16384" width="9.109375" style="1"/>
  </cols>
  <sheetData>
    <row r="1" spans="1:17" ht="24" customHeight="1" x14ac:dyDescent="0.3">
      <c r="H1" s="54" t="s">
        <v>40</v>
      </c>
      <c r="I1" s="54"/>
      <c r="J1" s="54"/>
      <c r="K1" s="54"/>
      <c r="L1" s="54"/>
      <c r="M1" s="54"/>
      <c r="N1" s="57"/>
      <c r="O1" s="58"/>
      <c r="P1" s="58"/>
      <c r="Q1" s="58"/>
    </row>
    <row r="2" spans="1:17" ht="26.25" customHeight="1" x14ac:dyDescent="0.25">
      <c r="A2" s="59" t="s">
        <v>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39" customHeight="1" x14ac:dyDescent="0.25">
      <c r="A3" s="60" t="s">
        <v>0</v>
      </c>
      <c r="B3" s="60" t="s">
        <v>2</v>
      </c>
      <c r="C3" s="55" t="s">
        <v>5</v>
      </c>
      <c r="D3" s="55" t="s">
        <v>1</v>
      </c>
      <c r="E3" s="55" t="s">
        <v>3</v>
      </c>
      <c r="F3" s="62" t="s">
        <v>4</v>
      </c>
      <c r="G3" s="63"/>
      <c r="H3" s="63"/>
      <c r="I3" s="64"/>
      <c r="J3" s="65"/>
      <c r="K3" s="67" t="s">
        <v>16</v>
      </c>
      <c r="L3" s="67"/>
      <c r="M3" s="67"/>
      <c r="N3" s="66" t="s">
        <v>12</v>
      </c>
      <c r="O3" s="66"/>
      <c r="P3" s="66"/>
      <c r="Q3" s="66"/>
    </row>
    <row r="4" spans="1:17" ht="159" customHeight="1" x14ac:dyDescent="0.25">
      <c r="A4" s="55"/>
      <c r="B4" s="55"/>
      <c r="C4" s="56"/>
      <c r="D4" s="56"/>
      <c r="E4" s="56"/>
      <c r="F4" s="46" t="s">
        <v>44</v>
      </c>
      <c r="G4" s="46" t="s">
        <v>45</v>
      </c>
      <c r="H4" s="46" t="s">
        <v>46</v>
      </c>
      <c r="I4" s="2" t="s">
        <v>19</v>
      </c>
      <c r="J4" s="2" t="s">
        <v>20</v>
      </c>
      <c r="K4" s="2" t="s">
        <v>8</v>
      </c>
      <c r="L4" s="2" t="s">
        <v>6</v>
      </c>
      <c r="M4" s="3" t="s">
        <v>7</v>
      </c>
      <c r="N4" s="5" t="s">
        <v>32</v>
      </c>
      <c r="O4" s="4" t="s">
        <v>9</v>
      </c>
      <c r="P4" s="4" t="s">
        <v>10</v>
      </c>
      <c r="Q4" s="4" t="s">
        <v>17</v>
      </c>
    </row>
    <row r="5" spans="1:17" ht="26.4" x14ac:dyDescent="0.25">
      <c r="A5" s="34">
        <v>1</v>
      </c>
      <c r="B5" s="44" t="s">
        <v>34</v>
      </c>
      <c r="C5" s="22" t="s">
        <v>29</v>
      </c>
      <c r="D5" s="44" t="s">
        <v>33</v>
      </c>
      <c r="E5" s="37">
        <v>10000</v>
      </c>
      <c r="F5" s="41">
        <v>38</v>
      </c>
      <c r="G5" s="41">
        <v>52</v>
      </c>
      <c r="H5" s="42">
        <v>60</v>
      </c>
      <c r="I5" s="38"/>
      <c r="J5" s="38"/>
      <c r="K5" s="24">
        <f>AVERAGE(F5:H5)</f>
        <v>50</v>
      </c>
      <c r="L5" s="25">
        <f>SQRT(((SUM((POWER(H5-K5,2)),(POWER(G5-K5,2)),(POWER(F5-K5,2)))/(COLUMNS(F5:H5)-1))))</f>
        <v>11.135528725660043</v>
      </c>
      <c r="M5" s="25">
        <f>L5/K5*100</f>
        <v>22.271057451320086</v>
      </c>
      <c r="N5" s="26">
        <f>O5*E5</f>
        <v>500000</v>
      </c>
      <c r="O5" s="39">
        <f>K5</f>
        <v>50</v>
      </c>
      <c r="P5" s="40">
        <f>O5</f>
        <v>50</v>
      </c>
      <c r="Q5" s="47">
        <f>N5</f>
        <v>500000</v>
      </c>
    </row>
    <row r="6" spans="1:17" ht="26.4" x14ac:dyDescent="0.25">
      <c r="A6" s="34">
        <v>2</v>
      </c>
      <c r="B6" s="44" t="s">
        <v>35</v>
      </c>
      <c r="C6" s="22" t="s">
        <v>29</v>
      </c>
      <c r="D6" s="44" t="s">
        <v>33</v>
      </c>
      <c r="E6" s="37">
        <v>2500</v>
      </c>
      <c r="F6" s="41">
        <v>38</v>
      </c>
      <c r="G6" s="41">
        <v>75</v>
      </c>
      <c r="H6" s="42">
        <v>95</v>
      </c>
      <c r="I6" s="38"/>
      <c r="J6" s="38"/>
      <c r="K6" s="24">
        <f t="shared" ref="K6:K12" si="0">AVERAGE(F6:H6)</f>
        <v>69.333333333333329</v>
      </c>
      <c r="L6" s="25">
        <f t="shared" ref="L6:L12" si="1">SQRT(((SUM((POWER(H6-K6,2)),(POWER(G6-K6,2)),(POWER(F6-K6,2)))/(COLUMNS(F6:H6)-1))))</f>
        <v>28.919428302325297</v>
      </c>
      <c r="M6" s="25">
        <f t="shared" ref="M6:M12" si="2">L6/K6*100</f>
        <v>41.710713897584569</v>
      </c>
      <c r="N6" s="26">
        <f t="shared" ref="N6:N17" si="3">O6*E6</f>
        <v>173333.33333333331</v>
      </c>
      <c r="O6" s="39">
        <f t="shared" ref="O6:O12" si="4">K6</f>
        <v>69.333333333333329</v>
      </c>
      <c r="P6" s="40">
        <f t="shared" ref="P6:P12" si="5">O6</f>
        <v>69.333333333333329</v>
      </c>
      <c r="Q6" s="47">
        <f t="shared" ref="Q6:Q17" si="6">N6</f>
        <v>173333.33333333331</v>
      </c>
    </row>
    <row r="7" spans="1:17" ht="26.4" x14ac:dyDescent="0.25">
      <c r="A7" s="34">
        <v>3</v>
      </c>
      <c r="B7" s="44" t="s">
        <v>36</v>
      </c>
      <c r="C7" s="22" t="s">
        <v>29</v>
      </c>
      <c r="D7" s="44" t="s">
        <v>33</v>
      </c>
      <c r="E7" s="37">
        <v>800</v>
      </c>
      <c r="F7" s="41">
        <v>38</v>
      </c>
      <c r="G7" s="41">
        <v>50</v>
      </c>
      <c r="H7" s="42">
        <v>75</v>
      </c>
      <c r="I7" s="38"/>
      <c r="J7" s="38"/>
      <c r="K7" s="24">
        <f t="shared" si="0"/>
        <v>54.333333333333336</v>
      </c>
      <c r="L7" s="25">
        <f t="shared" si="1"/>
        <v>18.876793513023692</v>
      </c>
      <c r="M7" s="25">
        <f t="shared" si="2"/>
        <v>34.742564747896367</v>
      </c>
      <c r="N7" s="26">
        <f t="shared" si="3"/>
        <v>43466.666666666672</v>
      </c>
      <c r="O7" s="39">
        <f t="shared" si="4"/>
        <v>54.333333333333336</v>
      </c>
      <c r="P7" s="40">
        <f t="shared" si="5"/>
        <v>54.333333333333336</v>
      </c>
      <c r="Q7" s="47">
        <f t="shared" si="6"/>
        <v>43466.666666666672</v>
      </c>
    </row>
    <row r="8" spans="1:17" ht="26.4" x14ac:dyDescent="0.25">
      <c r="A8" s="34">
        <v>4</v>
      </c>
      <c r="B8" s="45" t="s">
        <v>37</v>
      </c>
      <c r="C8" s="22" t="s">
        <v>29</v>
      </c>
      <c r="D8" s="44" t="s">
        <v>33</v>
      </c>
      <c r="E8" s="37">
        <v>700</v>
      </c>
      <c r="F8" s="41">
        <v>38</v>
      </c>
      <c r="G8" s="41">
        <v>35</v>
      </c>
      <c r="H8" s="42">
        <v>45</v>
      </c>
      <c r="I8" s="38"/>
      <c r="J8" s="38"/>
      <c r="K8" s="24">
        <f t="shared" si="0"/>
        <v>39.333333333333336</v>
      </c>
      <c r="L8" s="25">
        <f t="shared" si="1"/>
        <v>5.1316014394468841</v>
      </c>
      <c r="M8" s="25">
        <f t="shared" si="2"/>
        <v>13.046444337576823</v>
      </c>
      <c r="N8" s="26">
        <f t="shared" si="3"/>
        <v>27533.333333333336</v>
      </c>
      <c r="O8" s="39">
        <f t="shared" si="4"/>
        <v>39.333333333333336</v>
      </c>
      <c r="P8" s="40">
        <f t="shared" si="5"/>
        <v>39.333333333333336</v>
      </c>
      <c r="Q8" s="47">
        <f t="shared" si="6"/>
        <v>27533.333333333336</v>
      </c>
    </row>
    <row r="9" spans="1:17" ht="26.4" x14ac:dyDescent="0.25">
      <c r="A9" s="34">
        <v>5</v>
      </c>
      <c r="B9" s="45" t="s">
        <v>42</v>
      </c>
      <c r="C9" s="22" t="s">
        <v>29</v>
      </c>
      <c r="D9" s="44" t="s">
        <v>33</v>
      </c>
      <c r="E9" s="37">
        <v>1000</v>
      </c>
      <c r="F9" s="41">
        <v>35</v>
      </c>
      <c r="G9" s="41">
        <v>50</v>
      </c>
      <c r="H9" s="42">
        <v>55</v>
      </c>
      <c r="I9" s="38"/>
      <c r="J9" s="38"/>
      <c r="K9" s="24">
        <f t="shared" si="0"/>
        <v>46.666666666666664</v>
      </c>
      <c r="L9" s="25">
        <f t="shared" si="1"/>
        <v>10.408329997330664</v>
      </c>
      <c r="M9" s="25">
        <f t="shared" si="2"/>
        <v>22.30356427999428</v>
      </c>
      <c r="N9" s="26">
        <f t="shared" si="3"/>
        <v>46666.666666666664</v>
      </c>
      <c r="O9" s="39">
        <f t="shared" si="4"/>
        <v>46.666666666666664</v>
      </c>
      <c r="P9" s="40">
        <f t="shared" si="5"/>
        <v>46.666666666666664</v>
      </c>
      <c r="Q9" s="47">
        <f t="shared" si="6"/>
        <v>46666.666666666664</v>
      </c>
    </row>
    <row r="10" spans="1:17" ht="26.4" x14ac:dyDescent="0.25">
      <c r="A10" s="34">
        <v>6</v>
      </c>
      <c r="B10" s="44" t="s">
        <v>43</v>
      </c>
      <c r="C10" s="22" t="s">
        <v>29</v>
      </c>
      <c r="D10" s="44" t="s">
        <v>33</v>
      </c>
      <c r="E10" s="37">
        <v>500</v>
      </c>
      <c r="F10" s="41">
        <v>220</v>
      </c>
      <c r="G10" s="41">
        <v>288</v>
      </c>
      <c r="H10" s="42">
        <v>315</v>
      </c>
      <c r="I10" s="38"/>
      <c r="J10" s="38"/>
      <c r="K10" s="24">
        <f t="shared" si="0"/>
        <v>274.33333333333331</v>
      </c>
      <c r="L10" s="25">
        <f t="shared" si="1"/>
        <v>48.952357791360093</v>
      </c>
      <c r="M10" s="25">
        <f t="shared" si="2"/>
        <v>17.844115841322029</v>
      </c>
      <c r="N10" s="26">
        <f t="shared" si="3"/>
        <v>137166.66666666666</v>
      </c>
      <c r="O10" s="39">
        <f t="shared" si="4"/>
        <v>274.33333333333331</v>
      </c>
      <c r="P10" s="40">
        <f t="shared" si="5"/>
        <v>274.33333333333331</v>
      </c>
      <c r="Q10" s="47">
        <f t="shared" si="6"/>
        <v>137166.66666666666</v>
      </c>
    </row>
    <row r="11" spans="1:17" ht="26.4" x14ac:dyDescent="0.25">
      <c r="A11" s="34">
        <v>7</v>
      </c>
      <c r="B11" s="44" t="s">
        <v>41</v>
      </c>
      <c r="C11" s="22" t="s">
        <v>29</v>
      </c>
      <c r="D11" s="44" t="s">
        <v>33</v>
      </c>
      <c r="E11" s="37">
        <v>500</v>
      </c>
      <c r="F11" s="41">
        <v>220</v>
      </c>
      <c r="G11" s="41">
        <v>250</v>
      </c>
      <c r="H11" s="42">
        <v>299</v>
      </c>
      <c r="I11" s="38"/>
      <c r="J11" s="38"/>
      <c r="K11" s="24">
        <f t="shared" si="0"/>
        <v>256.33333333333331</v>
      </c>
      <c r="L11" s="25">
        <f t="shared" si="1"/>
        <v>39.878983604567125</v>
      </c>
      <c r="M11" s="25">
        <f t="shared" si="2"/>
        <v>15.55747084703529</v>
      </c>
      <c r="N11" s="26">
        <f t="shared" si="3"/>
        <v>128166.66666666666</v>
      </c>
      <c r="O11" s="39">
        <f t="shared" si="4"/>
        <v>256.33333333333331</v>
      </c>
      <c r="P11" s="40">
        <f t="shared" si="5"/>
        <v>256.33333333333331</v>
      </c>
      <c r="Q11" s="47">
        <f t="shared" si="6"/>
        <v>128166.66666666666</v>
      </c>
    </row>
    <row r="12" spans="1:17" ht="26.4" x14ac:dyDescent="0.25">
      <c r="A12" s="34">
        <v>8</v>
      </c>
      <c r="B12" s="44" t="s">
        <v>38</v>
      </c>
      <c r="C12" s="22" t="s">
        <v>29</v>
      </c>
      <c r="D12" s="44" t="s">
        <v>33</v>
      </c>
      <c r="E12" s="37">
        <v>200</v>
      </c>
      <c r="F12" s="41">
        <v>165</v>
      </c>
      <c r="G12" s="41">
        <v>255</v>
      </c>
      <c r="H12" s="42">
        <v>168</v>
      </c>
      <c r="I12" s="38"/>
      <c r="J12" s="38"/>
      <c r="K12" s="24">
        <f t="shared" si="0"/>
        <v>196</v>
      </c>
      <c r="L12" s="25">
        <f t="shared" si="1"/>
        <v>51.117511676528231</v>
      </c>
      <c r="M12" s="25">
        <f t="shared" si="2"/>
        <v>26.080363100269505</v>
      </c>
      <c r="N12" s="26">
        <f t="shared" si="3"/>
        <v>39200</v>
      </c>
      <c r="O12" s="39">
        <f t="shared" si="4"/>
        <v>196</v>
      </c>
      <c r="P12" s="40">
        <f t="shared" si="5"/>
        <v>196</v>
      </c>
      <c r="Q12" s="47">
        <f t="shared" si="6"/>
        <v>39200</v>
      </c>
    </row>
    <row r="13" spans="1:17" ht="26.4" x14ac:dyDescent="0.25">
      <c r="A13" s="34">
        <v>9</v>
      </c>
      <c r="B13" s="44" t="s">
        <v>47</v>
      </c>
      <c r="C13" s="22" t="s">
        <v>29</v>
      </c>
      <c r="D13" s="44" t="s">
        <v>33</v>
      </c>
      <c r="E13" s="37">
        <v>200</v>
      </c>
      <c r="F13" s="41">
        <v>238</v>
      </c>
      <c r="G13" s="41">
        <v>260</v>
      </c>
      <c r="H13" s="42">
        <v>298</v>
      </c>
      <c r="I13" s="38"/>
      <c r="J13" s="38"/>
      <c r="K13" s="24">
        <f>AVERAGE(F13:H13)</f>
        <v>265.33333333333331</v>
      </c>
      <c r="L13" s="25">
        <f>SQRT(((SUM((POWER(H13-K13,2)),(POWER(G13-K13,2)),(POWER(F13-K13,2)))/(COLUMNS(F13:H13)-1))))</f>
        <v>30.353473167552565</v>
      </c>
      <c r="M13" s="25">
        <f>L13/K13*100</f>
        <v>11.43975119380122</v>
      </c>
      <c r="N13" s="26">
        <f t="shared" si="3"/>
        <v>53066.666666666664</v>
      </c>
      <c r="O13" s="39">
        <f>K13</f>
        <v>265.33333333333331</v>
      </c>
      <c r="P13" s="40">
        <f>O13</f>
        <v>265.33333333333331</v>
      </c>
      <c r="Q13" s="47">
        <f t="shared" si="6"/>
        <v>53066.666666666664</v>
      </c>
    </row>
    <row r="14" spans="1:17" ht="26.4" x14ac:dyDescent="0.25">
      <c r="A14" s="34">
        <v>10</v>
      </c>
      <c r="B14" s="44" t="s">
        <v>48</v>
      </c>
      <c r="C14" s="22" t="s">
        <v>29</v>
      </c>
      <c r="D14" s="44" t="s">
        <v>33</v>
      </c>
      <c r="E14" s="37">
        <v>200</v>
      </c>
      <c r="F14" s="41">
        <v>210</v>
      </c>
      <c r="G14" s="41">
        <v>200</v>
      </c>
      <c r="H14" s="42">
        <v>190</v>
      </c>
      <c r="I14" s="38"/>
      <c r="J14" s="38"/>
      <c r="K14" s="24">
        <f>AVERAGE(F14:H14)</f>
        <v>200</v>
      </c>
      <c r="L14" s="25">
        <f>SQRT(((SUM((POWER(H14-K14,2)),(POWER(G14-K14,2)),(POWER(F14-K14,2)))/(COLUMNS(F14:H14)-1))))</f>
        <v>10</v>
      </c>
      <c r="M14" s="25">
        <f>L14/K14*100</f>
        <v>5</v>
      </c>
      <c r="N14" s="26">
        <f t="shared" si="3"/>
        <v>40000</v>
      </c>
      <c r="O14" s="39">
        <f>K14</f>
        <v>200</v>
      </c>
      <c r="P14" s="40">
        <f>O14</f>
        <v>200</v>
      </c>
      <c r="Q14" s="47">
        <f t="shared" si="6"/>
        <v>40000</v>
      </c>
    </row>
    <row r="15" spans="1:17" ht="26.4" x14ac:dyDescent="0.25">
      <c r="A15" s="34">
        <v>11</v>
      </c>
      <c r="B15" s="44" t="s">
        <v>49</v>
      </c>
      <c r="C15" s="22" t="s">
        <v>29</v>
      </c>
      <c r="D15" s="44" t="s">
        <v>33</v>
      </c>
      <c r="E15" s="37">
        <v>200</v>
      </c>
      <c r="F15" s="41">
        <v>335</v>
      </c>
      <c r="G15" s="41">
        <v>490</v>
      </c>
      <c r="H15" s="42">
        <v>355</v>
      </c>
      <c r="I15" s="38"/>
      <c r="J15" s="38"/>
      <c r="K15" s="24">
        <f>AVERAGE(F15:H15)</f>
        <v>393.33333333333331</v>
      </c>
      <c r="L15" s="25">
        <f>SQRT(((SUM((POWER(H15-K15,2)),(POWER(G15-K15,2)),(POWER(F15-K15,2)))/(COLUMNS(F15:H15)-1))))</f>
        <v>84.31093246627826</v>
      </c>
      <c r="M15" s="25">
        <f>L15/K15*100</f>
        <v>21.434982830409727</v>
      </c>
      <c r="N15" s="26">
        <f t="shared" si="3"/>
        <v>78666.666666666657</v>
      </c>
      <c r="O15" s="39">
        <f>K15</f>
        <v>393.33333333333331</v>
      </c>
      <c r="P15" s="40">
        <f>O15</f>
        <v>393.33333333333331</v>
      </c>
      <c r="Q15" s="47">
        <f t="shared" si="6"/>
        <v>78666.666666666657</v>
      </c>
    </row>
    <row r="16" spans="1:17" ht="26.4" x14ac:dyDescent="0.25">
      <c r="A16" s="34">
        <v>12</v>
      </c>
      <c r="B16" s="44" t="s">
        <v>50</v>
      </c>
      <c r="C16" s="22" t="s">
        <v>29</v>
      </c>
      <c r="D16" s="44" t="s">
        <v>33</v>
      </c>
      <c r="E16" s="37">
        <v>200</v>
      </c>
      <c r="F16" s="41">
        <v>210</v>
      </c>
      <c r="G16" s="41">
        <v>250</v>
      </c>
      <c r="H16" s="42">
        <v>300</v>
      </c>
      <c r="I16" s="38"/>
      <c r="J16" s="38"/>
      <c r="K16" s="24">
        <f>AVERAGE(F16:H16)</f>
        <v>253.33333333333334</v>
      </c>
      <c r="L16" s="25">
        <f>SQRT(((SUM((POWER(H16-K16,2)),(POWER(G16-K16,2)),(POWER(F16-K16,2)))/(COLUMNS(F16:H16)-1))))</f>
        <v>45.092497528228947</v>
      </c>
      <c r="M16" s="25">
        <f>L16/K16*100</f>
        <v>17.799670076932479</v>
      </c>
      <c r="N16" s="26">
        <f t="shared" si="3"/>
        <v>50666.666666666672</v>
      </c>
      <c r="O16" s="39">
        <f>K16</f>
        <v>253.33333333333334</v>
      </c>
      <c r="P16" s="40">
        <f>O16</f>
        <v>253.33333333333334</v>
      </c>
      <c r="Q16" s="47">
        <f t="shared" si="6"/>
        <v>50666.666666666672</v>
      </c>
    </row>
    <row r="17" spans="1:17" ht="26.4" x14ac:dyDescent="0.25">
      <c r="A17" s="34">
        <v>13</v>
      </c>
      <c r="B17" s="44" t="s">
        <v>51</v>
      </c>
      <c r="C17" s="22" t="s">
        <v>29</v>
      </c>
      <c r="D17" s="44" t="s">
        <v>33</v>
      </c>
      <c r="E17" s="37">
        <v>300</v>
      </c>
      <c r="F17" s="41">
        <v>350</v>
      </c>
      <c r="G17" s="41">
        <v>315</v>
      </c>
      <c r="H17" s="42">
        <v>380</v>
      </c>
      <c r="I17" s="38"/>
      <c r="J17" s="38"/>
      <c r="K17" s="24">
        <f>AVERAGE(F17:H17)</f>
        <v>348.33333333333331</v>
      </c>
      <c r="L17" s="25">
        <f>SQRT(((SUM((POWER(H17-K17,2)),(POWER(G17-K17,2)),(POWER(F17-K17,2)))/(COLUMNS(F17:H17)-1))))</f>
        <v>32.53203549323856</v>
      </c>
      <c r="M17" s="25">
        <f>L17/K17*100</f>
        <v>9.3393403329871472</v>
      </c>
      <c r="N17" s="26">
        <f t="shared" si="3"/>
        <v>104500</v>
      </c>
      <c r="O17" s="39">
        <f>K17</f>
        <v>348.33333333333331</v>
      </c>
      <c r="P17" s="40">
        <f>O17</f>
        <v>348.33333333333331</v>
      </c>
      <c r="Q17" s="47">
        <f t="shared" si="6"/>
        <v>104500</v>
      </c>
    </row>
    <row r="18" spans="1:17" s="28" customFormat="1" ht="32.25" customHeight="1" x14ac:dyDescent="0.3">
      <c r="A18" s="33"/>
      <c r="B18" s="35"/>
      <c r="C18" s="22"/>
      <c r="D18" s="36"/>
      <c r="E18" s="36"/>
      <c r="F18" s="23"/>
      <c r="G18" s="23"/>
      <c r="H18" s="23"/>
      <c r="I18" s="23"/>
      <c r="J18" s="23"/>
      <c r="K18" s="24"/>
      <c r="L18" s="25"/>
      <c r="M18" s="25"/>
      <c r="N18" s="26"/>
      <c r="O18" s="27"/>
      <c r="P18" s="26"/>
      <c r="Q18" s="26" t="s">
        <v>53</v>
      </c>
    </row>
    <row r="19" spans="1:17" s="7" customFormat="1" ht="30.75" customHeight="1" x14ac:dyDescent="0.3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43" t="str">
        <f>Q18</f>
        <v>1 420 363.70</v>
      </c>
      <c r="L19" s="29" t="s">
        <v>11</v>
      </c>
      <c r="M19" s="29"/>
      <c r="N19" s="29"/>
      <c r="O19" s="29"/>
      <c r="P19" s="29"/>
      <c r="Q19" s="6"/>
    </row>
    <row r="20" spans="1:17" ht="66" customHeight="1" x14ac:dyDescent="0.25">
      <c r="A20" s="69" t="s">
        <v>18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</row>
    <row r="21" spans="1:17" ht="18.75" customHeight="1" x14ac:dyDescent="0.3">
      <c r="A21" s="52" t="s">
        <v>13</v>
      </c>
      <c r="B21" s="52"/>
      <c r="C21" s="52"/>
      <c r="D21" s="9"/>
      <c r="E21" s="9"/>
      <c r="F21" s="9"/>
      <c r="G21" s="9"/>
      <c r="H21" s="9"/>
      <c r="I21" s="9"/>
    </row>
    <row r="22" spans="1:17" s="8" customFormat="1" ht="15.75" customHeight="1" x14ac:dyDescent="0.3">
      <c r="A22" s="53"/>
      <c r="B22" s="53"/>
      <c r="C22" s="53"/>
      <c r="D22" s="53"/>
      <c r="E22" s="11"/>
      <c r="F22" s="12"/>
      <c r="G22" s="13"/>
      <c r="H22" s="50" t="s">
        <v>30</v>
      </c>
      <c r="I22" s="50"/>
      <c r="J22" s="50"/>
      <c r="K22" s="50"/>
      <c r="L22" s="50"/>
    </row>
    <row r="23" spans="1:17" s="8" customFormat="1" ht="15.75" customHeight="1" x14ac:dyDescent="0.3">
      <c r="A23" s="10"/>
      <c r="B23" s="10"/>
      <c r="C23" s="10"/>
      <c r="D23" s="10"/>
      <c r="E23" s="11"/>
      <c r="F23" s="12"/>
      <c r="G23" s="13"/>
      <c r="H23" s="48"/>
      <c r="I23" s="48"/>
      <c r="J23" s="49" t="s">
        <v>52</v>
      </c>
      <c r="K23" s="49"/>
    </row>
    <row r="24" spans="1:17" s="8" customFormat="1" ht="11.25" customHeight="1" x14ac:dyDescent="0.3">
      <c r="A24" s="10"/>
      <c r="B24" s="10"/>
      <c r="C24" s="10"/>
      <c r="D24" s="10"/>
      <c r="E24" s="11"/>
      <c r="F24" s="12"/>
      <c r="G24" s="13"/>
      <c r="H24" s="30" t="s">
        <v>15</v>
      </c>
      <c r="I24" s="31"/>
      <c r="J24" s="30" t="s">
        <v>15</v>
      </c>
      <c r="K24" s="31"/>
    </row>
    <row r="25" spans="1:17" ht="19.5" customHeight="1" x14ac:dyDescent="0.3">
      <c r="A25" s="52" t="s">
        <v>14</v>
      </c>
      <c r="B25" s="52"/>
      <c r="C25" s="52"/>
      <c r="D25" s="9"/>
      <c r="E25" s="9"/>
      <c r="F25" s="9"/>
      <c r="G25" s="9"/>
      <c r="H25" s="9"/>
    </row>
    <row r="26" spans="1:17" s="8" customFormat="1" ht="18.75" customHeight="1" x14ac:dyDescent="0.3">
      <c r="A26" s="53"/>
      <c r="B26" s="53"/>
      <c r="C26" s="53"/>
      <c r="D26" s="53"/>
      <c r="E26" s="11"/>
      <c r="F26" s="12"/>
      <c r="G26" s="13"/>
      <c r="H26" s="50" t="s">
        <v>31</v>
      </c>
      <c r="I26" s="50"/>
      <c r="J26" s="51"/>
      <c r="K26" s="51"/>
      <c r="L26" s="12"/>
    </row>
    <row r="27" spans="1:17" ht="19.5" customHeight="1" x14ac:dyDescent="0.25">
      <c r="H27" s="61"/>
      <c r="I27" s="61"/>
      <c r="J27" s="49" t="s">
        <v>52</v>
      </c>
      <c r="K27" s="49"/>
    </row>
    <row r="28" spans="1:17" x14ac:dyDescent="0.25">
      <c r="H28" s="30" t="s">
        <v>15</v>
      </c>
      <c r="I28" s="32"/>
      <c r="J28" s="30" t="s">
        <v>15</v>
      </c>
      <c r="K28" s="32"/>
    </row>
  </sheetData>
  <mergeCells count="23">
    <mergeCell ref="N3:Q3"/>
    <mergeCell ref="K3:M3"/>
    <mergeCell ref="H22:L22"/>
    <mergeCell ref="A19:J19"/>
    <mergeCell ref="A20:Q20"/>
    <mergeCell ref="A21:C21"/>
    <mergeCell ref="N1:Q1"/>
    <mergeCell ref="A2:Q2"/>
    <mergeCell ref="A3:A4"/>
    <mergeCell ref="B3:B4"/>
    <mergeCell ref="H27:I27"/>
    <mergeCell ref="J27:K27"/>
    <mergeCell ref="A22:D22"/>
    <mergeCell ref="E3:E4"/>
    <mergeCell ref="F3:J3"/>
    <mergeCell ref="C3:C4"/>
    <mergeCell ref="H23:I23"/>
    <mergeCell ref="J23:K23"/>
    <mergeCell ref="H26:K26"/>
    <mergeCell ref="A25:C25"/>
    <mergeCell ref="A26:D26"/>
    <mergeCell ref="H1:M1"/>
    <mergeCell ref="D3:D4"/>
  </mergeCells>
  <phoneticPr fontId="8" type="noConversion"/>
  <pageMargins left="0.43307086614173229" right="0.31496062992125984" top="0.74803149606299213" bottom="0.74803149606299213" header="0.31496062992125984" footer="0.31496062992125984"/>
  <pageSetup paperSize="9" scale="4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="55" zoomScaleNormal="55" workbookViewId="0">
      <selection activeCell="G17" sqref="G17"/>
    </sheetView>
  </sheetViews>
  <sheetFormatPr defaultRowHeight="14.4" x14ac:dyDescent="0.3"/>
  <sheetData>
    <row r="1" spans="1:9" x14ac:dyDescent="0.3">
      <c r="A1" s="14"/>
      <c r="B1" s="15"/>
      <c r="C1" s="15"/>
      <c r="D1" s="16"/>
      <c r="E1" s="17"/>
      <c r="F1" s="14"/>
      <c r="G1" s="14"/>
      <c r="H1" s="18"/>
      <c r="I1" s="18"/>
    </row>
    <row r="2" spans="1:9" ht="27.6" x14ac:dyDescent="0.3">
      <c r="A2" s="19" t="s">
        <v>21</v>
      </c>
      <c r="B2" s="20"/>
      <c r="C2" s="20" t="s">
        <v>22</v>
      </c>
      <c r="D2" s="20" t="s">
        <v>23</v>
      </c>
      <c r="E2" s="19" t="s">
        <v>24</v>
      </c>
      <c r="F2" s="19" t="s">
        <v>25</v>
      </c>
      <c r="G2" s="19" t="s">
        <v>3</v>
      </c>
      <c r="H2" s="19" t="s">
        <v>26</v>
      </c>
      <c r="I2" s="19" t="s">
        <v>27</v>
      </c>
    </row>
    <row r="3" spans="1:9" ht="15" thickBot="1" x14ac:dyDescent="0.35">
      <c r="A3" s="70" t="s">
        <v>28</v>
      </c>
      <c r="B3" s="71"/>
      <c r="C3" s="71"/>
      <c r="D3" s="71"/>
      <c r="E3" s="71"/>
      <c r="F3" s="71"/>
      <c r="G3" s="71"/>
      <c r="H3" s="72"/>
      <c r="I3" s="21"/>
    </row>
  </sheetData>
  <mergeCells count="1"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Расчет цены (2)</vt:lpstr>
      <vt:lpstr>Лист1</vt:lpstr>
      <vt:lpstr>'Расчет цены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Wilson Bryant</cp:lastModifiedBy>
  <cp:lastPrinted>2025-12-03T09:25:22Z</cp:lastPrinted>
  <dcterms:created xsi:type="dcterms:W3CDTF">2014-01-15T18:15:09Z</dcterms:created>
  <dcterms:modified xsi:type="dcterms:W3CDTF">2026-03-14T20:53:43Z</dcterms:modified>
</cp:coreProperties>
</file>